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al\Desktop\scuola\uni\anno scolastico 2025-2026\software engeniring\estimation\doc\media\"/>
    </mc:Choice>
  </mc:AlternateContent>
  <xr:revisionPtr revIDLastSave="0" documentId="13_ncr:1_{4E88D7CD-18CD-4542-BA70-C30CEA039701}" xr6:coauthVersionLast="47" xr6:coauthVersionMax="47" xr10:uidLastSave="{00000000-0000-0000-0000-000000000000}"/>
  <bookViews>
    <workbookView xWindow="-108" yWindow="-108" windowWidth="23256" windowHeight="12456" xr2:uid="{C60EA9AE-C215-4E89-9311-C8A8E12670D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4" i="1"/>
  <c r="J5" i="1"/>
  <c r="J6" i="1"/>
  <c r="J7" i="1"/>
  <c r="J8" i="1"/>
  <c r="J9" i="1"/>
  <c r="J11" i="1"/>
  <c r="J12" i="1"/>
  <c r="J13" i="1"/>
  <c r="J14" i="1"/>
  <c r="J15" i="1"/>
  <c r="J16" i="1"/>
  <c r="J3" i="1"/>
  <c r="G16" i="1"/>
  <c r="G15" i="1"/>
  <c r="G13" i="1"/>
  <c r="G12" i="1"/>
  <c r="G10" i="1"/>
  <c r="G9" i="1"/>
  <c r="G8" i="1"/>
  <c r="G7" i="1"/>
  <c r="G5" i="1"/>
  <c r="G4" i="1"/>
  <c r="E14" i="1"/>
  <c r="G14" i="1" s="1"/>
  <c r="E11" i="1"/>
  <c r="G11" i="1" s="1"/>
  <c r="E6" i="1"/>
  <c r="G6" i="1" s="1"/>
  <c r="E3" i="1"/>
  <c r="G3" i="1" s="1"/>
</calcChain>
</file>

<file path=xl/sharedStrings.xml><?xml version="1.0" encoding="utf-8"?>
<sst xmlns="http://schemas.openxmlformats.org/spreadsheetml/2006/main" count="22" uniqueCount="22">
  <si>
    <t>Ezshop</t>
  </si>
  <si>
    <t>tasks</t>
  </si>
  <si>
    <t>start date</t>
  </si>
  <si>
    <t>hours</t>
  </si>
  <si>
    <t>people</t>
  </si>
  <si>
    <t>complate date</t>
  </si>
  <si>
    <t>Adjusted lenght</t>
  </si>
  <si>
    <t>requirment and deisgn</t>
  </si>
  <si>
    <t>Requirement analysis and definition</t>
  </si>
  <si>
    <t xml:space="preserve">System, architecture and database desing </t>
  </si>
  <si>
    <t>development</t>
  </si>
  <si>
    <t>Cash register comunication and API Development</t>
  </si>
  <si>
    <t>Backend Development</t>
  </si>
  <si>
    <t>Database and query Development</t>
  </si>
  <si>
    <t>Frontend Development</t>
  </si>
  <si>
    <t>Testing</t>
  </si>
  <si>
    <t>creation</t>
  </si>
  <si>
    <t>final stage</t>
  </si>
  <si>
    <t>Create a Documentation</t>
  </si>
  <si>
    <t>Sundry Feedback</t>
  </si>
  <si>
    <t>total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</si>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</sst>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16CEB8"/>
      <color rgb="FFA581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2"/>
          <c:order val="2"/>
          <c:tx>
            <c:strRef>
              <c:f>Foglio1!$D$2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Foglio1!$A$3:$A$16</c:f>
              <c:strCache>
                <c:ptCount val="14"/>
                <c:pt idx="0">
                  <c:v>requirment and deisgn</c:v>
                </c:pt>
                <c:pt idx="1">
                  <c:v>Requirement analysis and definition</c:v>
                </c:pt>
                <c:pt idx="2">
                  <c:v>System, architecture and database desing </c:v>
                </c:pt>
                <c:pt idx="3">
                  <c:v>development</c:v>
                </c:pt>
                <c:pt idx="4">
                  <c:v>Cash register comunication and API Development</c:v>
                </c:pt>
                <c:pt idx="5">
                  <c:v>Backend Development</c:v>
                </c:pt>
                <c:pt idx="6">
                  <c:v>Database and query Development</c:v>
                </c:pt>
                <c:pt idx="7">
                  <c:v>Frontend Development</c:v>
                </c:pt>
                <c:pt idx="8">
                  <c:v>Testing</c:v>
                </c:pt>
                <c:pt idx="9">
                  <c:v>creation</c:v>
                </c:pt>
                <c:pt idx="10">
                  <c:v>Test</c:v>
                </c:pt>
                <c:pt idx="11">
                  <c:v>final stage</c:v>
                </c:pt>
                <c:pt idx="12">
                  <c:v>Create a Documentation</c:v>
                </c:pt>
                <c:pt idx="13">
                  <c:v>Sundry Feedback</c:v>
                </c:pt>
              </c:strCache>
            </c:strRef>
          </c:cat>
          <c:val>
            <c:numRef>
              <c:f>Foglio1!$D$3:$D$16</c:f>
              <c:numCache>
                <c:formatCode>m/d/yyyy</c:formatCode>
                <c:ptCount val="14"/>
                <c:pt idx="0">
                  <c:v>45957</c:v>
                </c:pt>
                <c:pt idx="1">
                  <c:v>45957</c:v>
                </c:pt>
                <c:pt idx="2">
                  <c:v>45958</c:v>
                </c:pt>
                <c:pt idx="3">
                  <c:v>45960</c:v>
                </c:pt>
                <c:pt idx="4">
                  <c:v>45960</c:v>
                </c:pt>
                <c:pt idx="5">
                  <c:v>45960</c:v>
                </c:pt>
                <c:pt idx="6">
                  <c:v>45965</c:v>
                </c:pt>
                <c:pt idx="7">
                  <c:v>45960</c:v>
                </c:pt>
                <c:pt idx="8">
                  <c:v>45966</c:v>
                </c:pt>
                <c:pt idx="9">
                  <c:v>45966</c:v>
                </c:pt>
                <c:pt idx="10">
                  <c:v>45971</c:v>
                </c:pt>
                <c:pt idx="11">
                  <c:v>45973</c:v>
                </c:pt>
                <c:pt idx="12">
                  <c:v>45973</c:v>
                </c:pt>
                <c:pt idx="13">
                  <c:v>45973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4-44C3-A439-FD87800A69DB}"/>
            </c:ext>
          </c:extLst>
        </c:ser>
        <c:ser>
          <c:idx val="3"/>
          <c:order val="3"/>
          <c:tx>
            <c:strRef>
              <c:f>Foglio1!$J$2</c:f>
              <c:strCache>
                <c:ptCount val="1"/>
                <c:pt idx="0">
                  <c:v>Adjusted lenght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B4-44C3-A439-FD87800A69DB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B4-44C3-A439-FD87800A69DB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7B4-44C3-A439-FD87800A69D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7B4-44C3-A439-FD87800A69DB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B4-44C3-A439-FD87800A69D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7B4-44C3-A439-FD87800A69DB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7B4-44C3-A439-FD87800A69DB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7B4-44C3-A439-FD87800A69D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B4-44C3-A439-FD87800A69DB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7B4-44C3-A439-FD87800A69DB}"/>
              </c:ext>
            </c:extLst>
          </c:dPt>
          <c:dPt>
            <c:idx val="10"/>
            <c:invertIfNegative val="0"/>
            <c:bubble3D val="0"/>
            <c:spPr>
              <a:solidFill>
                <a:srgbClr val="A5813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7B4-44C3-A439-FD87800A69D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7B4-44C3-A439-FD87800A69DB}"/>
              </c:ext>
            </c:extLst>
          </c:dPt>
          <c:dPt>
            <c:idx val="12"/>
            <c:invertIfNegative val="0"/>
            <c:bubble3D val="0"/>
            <c:spPr>
              <a:solidFill>
                <a:srgbClr val="16CEB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7B4-44C3-A439-FD87800A69D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7B4-44C3-A439-FD87800A69DB}"/>
              </c:ext>
            </c:extLst>
          </c:dPt>
          <c:cat>
            <c:strRef>
              <c:f>Foglio1!$A$3:$A$16</c:f>
              <c:strCache>
                <c:ptCount val="14"/>
                <c:pt idx="0">
                  <c:v>requirment and deisgn</c:v>
                </c:pt>
                <c:pt idx="1">
                  <c:v>Requirement analysis and definition</c:v>
                </c:pt>
                <c:pt idx="2">
                  <c:v>System, architecture and database desing </c:v>
                </c:pt>
                <c:pt idx="3">
                  <c:v>development</c:v>
                </c:pt>
                <c:pt idx="4">
                  <c:v>Cash register comunication and API Development</c:v>
                </c:pt>
                <c:pt idx="5">
                  <c:v>Backend Development</c:v>
                </c:pt>
                <c:pt idx="6">
                  <c:v>Database and query Development</c:v>
                </c:pt>
                <c:pt idx="7">
                  <c:v>Frontend Development</c:v>
                </c:pt>
                <c:pt idx="8">
                  <c:v>Testing</c:v>
                </c:pt>
                <c:pt idx="9">
                  <c:v>creation</c:v>
                </c:pt>
                <c:pt idx="10">
                  <c:v>Test</c:v>
                </c:pt>
                <c:pt idx="11">
                  <c:v>final stage</c:v>
                </c:pt>
                <c:pt idx="12">
                  <c:v>Create a Documentation</c:v>
                </c:pt>
                <c:pt idx="13">
                  <c:v>Sundry Feedback</c:v>
                </c:pt>
              </c:strCache>
            </c:strRef>
          </c:cat>
          <c:val>
            <c:numRef>
              <c:f>Foglio1!$J$3:$J$16</c:f>
              <c:numCache>
                <c:formatCode>General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B4-44C3-A439-FD87800A6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5262879"/>
        <c:axId val="9852710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Foglio1!$B$2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Foglio1!$A$3:$A$16</c15:sqref>
                        </c15:formulaRef>
                      </c:ext>
                    </c:extLst>
                    <c:strCache>
                      <c:ptCount val="14"/>
                      <c:pt idx="0">
                        <c:v>requirment and deisgn</c:v>
                      </c:pt>
                      <c:pt idx="1">
                        <c:v>Requirement analysis and definition</c:v>
                      </c:pt>
                      <c:pt idx="2">
                        <c:v>System, architecture and database desing </c:v>
                      </c:pt>
                      <c:pt idx="3">
                        <c:v>development</c:v>
                      </c:pt>
                      <c:pt idx="4">
                        <c:v>Cash register comunication and API Development</c:v>
                      </c:pt>
                      <c:pt idx="5">
                        <c:v>Backend Development</c:v>
                      </c:pt>
                      <c:pt idx="6">
                        <c:v>Database and query Development</c:v>
                      </c:pt>
                      <c:pt idx="7">
                        <c:v>Frontend Development</c:v>
                      </c:pt>
                      <c:pt idx="8">
                        <c:v>Testing</c:v>
                      </c:pt>
                      <c:pt idx="9">
                        <c:v>creation</c:v>
                      </c:pt>
                      <c:pt idx="10">
                        <c:v>Test</c:v>
                      </c:pt>
                      <c:pt idx="11">
                        <c:v>final stage</c:v>
                      </c:pt>
                      <c:pt idx="12">
                        <c:v>Create a Documentation</c:v>
                      </c:pt>
                      <c:pt idx="13">
                        <c:v>Sundry Feedback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Foglio1!$B$3:$B$16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7B4-44C3-A439-FD87800A69D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Foglio1!$C$2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Foglio1!$A$3:$A$16</c15:sqref>
                        </c15:formulaRef>
                      </c:ext>
                    </c:extLst>
                    <c:strCache>
                      <c:ptCount val="14"/>
                      <c:pt idx="0">
                        <c:v>requirment and deisgn</c:v>
                      </c:pt>
                      <c:pt idx="1">
                        <c:v>Requirement analysis and definition</c:v>
                      </c:pt>
                      <c:pt idx="2">
                        <c:v>System, architecture and database desing </c:v>
                      </c:pt>
                      <c:pt idx="3">
                        <c:v>development</c:v>
                      </c:pt>
                      <c:pt idx="4">
                        <c:v>Cash register comunication and API Development</c:v>
                      </c:pt>
                      <c:pt idx="5">
                        <c:v>Backend Development</c:v>
                      </c:pt>
                      <c:pt idx="6">
                        <c:v>Database and query Development</c:v>
                      </c:pt>
                      <c:pt idx="7">
                        <c:v>Frontend Development</c:v>
                      </c:pt>
                      <c:pt idx="8">
                        <c:v>Testing</c:v>
                      </c:pt>
                      <c:pt idx="9">
                        <c:v>creation</c:v>
                      </c:pt>
                      <c:pt idx="10">
                        <c:v>Test</c:v>
                      </c:pt>
                      <c:pt idx="11">
                        <c:v>final stage</c:v>
                      </c:pt>
                      <c:pt idx="12">
                        <c:v>Create a Documentation</c:v>
                      </c:pt>
                      <c:pt idx="13">
                        <c:v>Sundry Feedback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Foglio1!$C$3:$C$16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7B4-44C3-A439-FD87800A69D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Foglio1!$K$2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Foglio1!$A$3:$A$16</c15:sqref>
                        </c15:formulaRef>
                      </c:ext>
                    </c:extLst>
                    <c:strCache>
                      <c:ptCount val="14"/>
                      <c:pt idx="0">
                        <c:v>requirment and deisgn</c:v>
                      </c:pt>
                      <c:pt idx="1">
                        <c:v>Requirement analysis and definition</c:v>
                      </c:pt>
                      <c:pt idx="2">
                        <c:v>System, architecture and database desing </c:v>
                      </c:pt>
                      <c:pt idx="3">
                        <c:v>development</c:v>
                      </c:pt>
                      <c:pt idx="4">
                        <c:v>Cash register comunication and API Development</c:v>
                      </c:pt>
                      <c:pt idx="5">
                        <c:v>Backend Development</c:v>
                      </c:pt>
                      <c:pt idx="6">
                        <c:v>Database and query Development</c:v>
                      </c:pt>
                      <c:pt idx="7">
                        <c:v>Frontend Development</c:v>
                      </c:pt>
                      <c:pt idx="8">
                        <c:v>Testing</c:v>
                      </c:pt>
                      <c:pt idx="9">
                        <c:v>creation</c:v>
                      </c:pt>
                      <c:pt idx="10">
                        <c:v>Test</c:v>
                      </c:pt>
                      <c:pt idx="11">
                        <c:v>final stage</c:v>
                      </c:pt>
                      <c:pt idx="12">
                        <c:v>Create a Documentation</c:v>
                      </c:pt>
                      <c:pt idx="13">
                        <c:v>Sundry Feedback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Foglio1!$K$3:$K$16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7B4-44C3-A439-FD87800A69DB}"/>
                  </c:ext>
                </c:extLst>
              </c15:ser>
            </c15:filteredBarSeries>
          </c:ext>
        </c:extLst>
      </c:barChart>
      <c:catAx>
        <c:axId val="9852628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5271039"/>
        <c:crosses val="autoZero"/>
        <c:auto val="1"/>
        <c:lblAlgn val="ctr"/>
        <c:lblOffset val="100"/>
        <c:noMultiLvlLbl val="0"/>
      </c:catAx>
      <c:valAx>
        <c:axId val="985271039"/>
        <c:scaling>
          <c:orientation val="minMax"/>
          <c:max val="45976"/>
          <c:min val="4595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526287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284919</xdr:colOff>
      <xdr:row>16</xdr:row>
      <xdr:rowOff>175590</xdr:rowOff>
    </xdr:from>
    <xdr:to>
      <xdr:col>11</xdr:col>
      <xdr:colOff>450572</xdr:colOff>
      <xdr:row>36</xdr:row>
      <xdr:rowOff>112642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6140E4F-04E4-E7C4-8337-03C7E9788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A7EB-68C3-4AA2-898F-C728EAE1ADE4}">
  <dimension ref="A1:K16"/>
  <sheetViews>
    <sheetView tabSelected="1" topLeftCell="A24" zoomScale="115" zoomScaleNormal="115" workbookViewId="0">
      <selection activeCell="D16" sqref="A3:D16"/>
    </sheetView>
  </sheetViews>
  <sheetFormatPr defaultRowHeight="14.4" x14ac:dyDescent="0.3"/>
  <cols>
    <col min="4" max="4" width="10.77734375" bestFit="1" customWidth="1"/>
  </cols>
  <sheetData>
    <row r="1" spans="1:11" ht="21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" x14ac:dyDescent="0.35">
      <c r="A2" s="4" t="s">
        <v>1</v>
      </c>
      <c r="B2" s="4"/>
      <c r="C2" s="4"/>
      <c r="D2" s="5" t="s">
        <v>2</v>
      </c>
      <c r="E2" s="5" t="s">
        <v>3</v>
      </c>
      <c r="F2" s="5" t="s">
        <v>4</v>
      </c>
      <c r="G2" s="5" t="s">
        <v>20</v>
      </c>
      <c r="H2" s="6" t="s">
        <v>5</v>
      </c>
      <c r="I2" s="6"/>
      <c r="J2" s="6" t="s">
        <v>6</v>
      </c>
      <c r="K2" s="6"/>
    </row>
    <row r="3" spans="1:11" x14ac:dyDescent="0.3">
      <c r="A3" s="7" t="s">
        <v>7</v>
      </c>
      <c r="B3" s="7"/>
      <c r="C3" s="7"/>
      <c r="D3" s="8">
        <v>45957</v>
      </c>
      <c r="E3">
        <f>E4+E5</f>
        <v>35</v>
      </c>
      <c r="F3">
        <v>1</v>
      </c>
      <c r="G3">
        <f>_xlfn.CEILING.MATH(E3/F3)</f>
        <v>35</v>
      </c>
      <c r="H3" s="9">
        <v>45959</v>
      </c>
      <c r="I3" s="1"/>
      <c r="J3" s="1">
        <f>H3-D3</f>
        <v>2</v>
      </c>
      <c r="K3" s="1"/>
    </row>
    <row r="4" spans="1:11" ht="27" customHeight="1" x14ac:dyDescent="0.3">
      <c r="A4" s="2" t="s">
        <v>8</v>
      </c>
      <c r="B4" s="2"/>
      <c r="C4" s="2"/>
      <c r="D4" s="8">
        <v>45957</v>
      </c>
      <c r="E4">
        <v>15</v>
      </c>
      <c r="F4">
        <v>5</v>
      </c>
      <c r="G4">
        <f t="shared" ref="G4:G16" si="0">_xlfn.CEILING.MATH(E4/F4)</f>
        <v>3</v>
      </c>
      <c r="H4" s="9">
        <v>45958</v>
      </c>
      <c r="I4" s="1"/>
      <c r="J4" s="1">
        <f t="shared" ref="J4:J16" si="1">H4-D4</f>
        <v>1</v>
      </c>
      <c r="K4" s="1"/>
    </row>
    <row r="5" spans="1:11" ht="31.2" customHeight="1" x14ac:dyDescent="0.3">
      <c r="A5" s="2" t="s">
        <v>9</v>
      </c>
      <c r="B5" s="2"/>
      <c r="C5" s="2"/>
      <c r="D5" s="8">
        <v>45958</v>
      </c>
      <c r="E5">
        <v>20</v>
      </c>
      <c r="F5">
        <v>5</v>
      </c>
      <c r="G5">
        <f t="shared" si="0"/>
        <v>4</v>
      </c>
      <c r="H5" s="9">
        <v>45959</v>
      </c>
      <c r="I5" s="1"/>
      <c r="J5" s="1">
        <f t="shared" si="1"/>
        <v>1</v>
      </c>
      <c r="K5" s="1"/>
    </row>
    <row r="6" spans="1:11" x14ac:dyDescent="0.3">
      <c r="A6" s="7" t="s">
        <v>10</v>
      </c>
      <c r="B6" s="7"/>
      <c r="C6" s="7"/>
      <c r="D6" s="8">
        <v>45960</v>
      </c>
      <c r="E6">
        <f>SUM(E7:E10)</f>
        <v>175</v>
      </c>
      <c r="F6">
        <v>1</v>
      </c>
      <c r="G6">
        <f t="shared" si="0"/>
        <v>175</v>
      </c>
      <c r="H6" s="9">
        <v>45968</v>
      </c>
      <c r="I6" s="1"/>
      <c r="J6" s="1">
        <f t="shared" si="1"/>
        <v>8</v>
      </c>
      <c r="K6" s="1"/>
    </row>
    <row r="7" spans="1:11" ht="28.8" customHeight="1" x14ac:dyDescent="0.3">
      <c r="A7" s="2" t="s">
        <v>11</v>
      </c>
      <c r="B7" s="2"/>
      <c r="C7" s="2"/>
      <c r="D7" s="8">
        <v>45960</v>
      </c>
      <c r="E7">
        <v>25</v>
      </c>
      <c r="F7">
        <v>2</v>
      </c>
      <c r="G7">
        <f t="shared" si="0"/>
        <v>13</v>
      </c>
      <c r="H7" s="9">
        <v>45964</v>
      </c>
      <c r="I7" s="1"/>
      <c r="J7" s="1">
        <f t="shared" si="1"/>
        <v>4</v>
      </c>
      <c r="K7" s="1"/>
    </row>
    <row r="8" spans="1:11" x14ac:dyDescent="0.3">
      <c r="A8" s="2" t="s">
        <v>12</v>
      </c>
      <c r="B8" s="2"/>
      <c r="C8" s="2"/>
      <c r="D8" s="8">
        <v>45960</v>
      </c>
      <c r="E8">
        <v>70</v>
      </c>
      <c r="F8">
        <v>2</v>
      </c>
      <c r="G8">
        <f t="shared" si="0"/>
        <v>35</v>
      </c>
      <c r="H8" s="9">
        <v>45968</v>
      </c>
      <c r="I8" s="9"/>
      <c r="J8" s="1">
        <f t="shared" si="1"/>
        <v>8</v>
      </c>
      <c r="K8" s="1"/>
    </row>
    <row r="9" spans="1:11" x14ac:dyDescent="0.3">
      <c r="A9" s="2" t="s">
        <v>13</v>
      </c>
      <c r="B9" s="2"/>
      <c r="C9" s="2"/>
      <c r="D9" s="8">
        <v>45965</v>
      </c>
      <c r="E9">
        <v>50</v>
      </c>
      <c r="F9">
        <v>2</v>
      </c>
      <c r="G9">
        <f t="shared" si="0"/>
        <v>25</v>
      </c>
      <c r="H9" s="9">
        <v>45968</v>
      </c>
      <c r="I9" s="1"/>
      <c r="J9" s="1">
        <f t="shared" si="1"/>
        <v>3</v>
      </c>
      <c r="K9" s="1"/>
    </row>
    <row r="10" spans="1:11" x14ac:dyDescent="0.3">
      <c r="A10" s="2" t="s">
        <v>14</v>
      </c>
      <c r="B10" s="2"/>
      <c r="C10" s="2"/>
      <c r="D10" s="8">
        <v>45960</v>
      </c>
      <c r="E10">
        <v>30</v>
      </c>
      <c r="F10">
        <v>1</v>
      </c>
      <c r="G10">
        <f t="shared" si="0"/>
        <v>30</v>
      </c>
      <c r="H10" s="9">
        <v>45965</v>
      </c>
      <c r="I10" s="1"/>
      <c r="J10" s="1">
        <f>H10-D10</f>
        <v>5</v>
      </c>
      <c r="K10" s="1"/>
    </row>
    <row r="11" spans="1:11" x14ac:dyDescent="0.3">
      <c r="A11" s="7" t="s">
        <v>15</v>
      </c>
      <c r="B11" s="7"/>
      <c r="C11" s="7"/>
      <c r="D11" s="8">
        <v>45966</v>
      </c>
      <c r="E11">
        <f>SUM(E12:E13)</f>
        <v>100</v>
      </c>
      <c r="F11">
        <v>1</v>
      </c>
      <c r="G11">
        <f t="shared" si="0"/>
        <v>100</v>
      </c>
      <c r="H11" s="9">
        <v>45972</v>
      </c>
      <c r="I11" s="1"/>
      <c r="J11" s="1">
        <f t="shared" si="1"/>
        <v>6</v>
      </c>
      <c r="K11" s="1"/>
    </row>
    <row r="12" spans="1:11" x14ac:dyDescent="0.3">
      <c r="A12" s="2" t="s">
        <v>16</v>
      </c>
      <c r="B12" s="2"/>
      <c r="C12" s="2"/>
      <c r="D12" s="8">
        <v>45966</v>
      </c>
      <c r="E12">
        <v>25</v>
      </c>
      <c r="F12">
        <v>1</v>
      </c>
      <c r="G12">
        <f t="shared" si="0"/>
        <v>25</v>
      </c>
      <c r="H12" s="9">
        <v>45968</v>
      </c>
      <c r="I12" s="1"/>
      <c r="J12" s="1">
        <f t="shared" si="1"/>
        <v>2</v>
      </c>
      <c r="K12" s="1"/>
    </row>
    <row r="13" spans="1:11" x14ac:dyDescent="0.3">
      <c r="A13" s="2" t="s">
        <v>21</v>
      </c>
      <c r="B13" s="2"/>
      <c r="C13" s="2"/>
      <c r="D13" s="8">
        <v>45971</v>
      </c>
      <c r="E13">
        <v>75</v>
      </c>
      <c r="F13">
        <v>5</v>
      </c>
      <c r="G13">
        <f t="shared" si="0"/>
        <v>15</v>
      </c>
      <c r="H13" s="9">
        <v>45972</v>
      </c>
      <c r="I13" s="1"/>
      <c r="J13" s="1">
        <f t="shared" si="1"/>
        <v>1</v>
      </c>
      <c r="K13" s="1"/>
    </row>
    <row r="14" spans="1:11" x14ac:dyDescent="0.3">
      <c r="A14" s="7" t="s">
        <v>17</v>
      </c>
      <c r="B14" s="7"/>
      <c r="C14" s="7"/>
      <c r="D14" s="8">
        <v>45973</v>
      </c>
      <c r="E14">
        <f>SUM(E15:E16)</f>
        <v>40</v>
      </c>
      <c r="F14">
        <v>1</v>
      </c>
      <c r="G14">
        <f t="shared" si="0"/>
        <v>40</v>
      </c>
      <c r="H14" s="9">
        <v>45975</v>
      </c>
      <c r="I14" s="1"/>
      <c r="J14" s="1">
        <f t="shared" si="1"/>
        <v>2</v>
      </c>
      <c r="K14" s="1"/>
    </row>
    <row r="15" spans="1:11" x14ac:dyDescent="0.3">
      <c r="A15" s="2" t="s">
        <v>18</v>
      </c>
      <c r="B15" s="2"/>
      <c r="C15" s="2"/>
      <c r="D15" s="8">
        <v>45973</v>
      </c>
      <c r="E15">
        <v>15</v>
      </c>
      <c r="F15">
        <v>2</v>
      </c>
      <c r="G15">
        <f t="shared" si="0"/>
        <v>8</v>
      </c>
      <c r="H15" s="9">
        <v>45975</v>
      </c>
      <c r="I15" s="1"/>
      <c r="J15" s="1">
        <f t="shared" si="1"/>
        <v>2</v>
      </c>
      <c r="K15" s="1"/>
    </row>
    <row r="16" spans="1:11" x14ac:dyDescent="0.3">
      <c r="A16" s="2" t="s">
        <v>19</v>
      </c>
      <c r="B16" s="2"/>
      <c r="C16" s="2"/>
      <c r="D16" s="8">
        <v>45973</v>
      </c>
      <c r="E16">
        <v>25</v>
      </c>
      <c r="F16">
        <v>3</v>
      </c>
      <c r="G16">
        <f t="shared" si="0"/>
        <v>9</v>
      </c>
      <c r="H16" s="9">
        <v>45975</v>
      </c>
      <c r="I16" s="1"/>
      <c r="J16" s="1">
        <f t="shared" si="1"/>
        <v>2</v>
      </c>
      <c r="K16" s="1"/>
    </row>
  </sheetData>
  <mergeCells count="46">
    <mergeCell ref="J16:K16"/>
    <mergeCell ref="A1:K1"/>
    <mergeCell ref="J10:K10"/>
    <mergeCell ref="J11:K11"/>
    <mergeCell ref="J12:K12"/>
    <mergeCell ref="J13:K13"/>
    <mergeCell ref="J14:K14"/>
    <mergeCell ref="J15:K15"/>
    <mergeCell ref="H14:I14"/>
    <mergeCell ref="H15:I15"/>
    <mergeCell ref="H16:I16"/>
    <mergeCell ref="J3:K3"/>
    <mergeCell ref="J4:K4"/>
    <mergeCell ref="J5:K5"/>
    <mergeCell ref="J6:K6"/>
    <mergeCell ref="J7:K7"/>
    <mergeCell ref="J8:K8"/>
    <mergeCell ref="J9:K9"/>
    <mergeCell ref="H8:I8"/>
    <mergeCell ref="H9:I9"/>
    <mergeCell ref="H10:I10"/>
    <mergeCell ref="H11:I11"/>
    <mergeCell ref="H12:I12"/>
    <mergeCell ref="H13:I13"/>
    <mergeCell ref="J2:K2"/>
    <mergeCell ref="H3:I3"/>
    <mergeCell ref="H4:I4"/>
    <mergeCell ref="H5:I5"/>
    <mergeCell ref="H6:I6"/>
    <mergeCell ref="H7:I7"/>
    <mergeCell ref="A14:C14"/>
    <mergeCell ref="A15:C15"/>
    <mergeCell ref="A16:C16"/>
    <mergeCell ref="A2:C2"/>
    <mergeCell ref="A8:C8"/>
    <mergeCell ref="A9:C9"/>
    <mergeCell ref="A10:C10"/>
    <mergeCell ref="A11:C11"/>
    <mergeCell ref="A12:C12"/>
    <mergeCell ref="A13:C13"/>
    <mergeCell ref="A3:C3"/>
    <mergeCell ref="A4:C4"/>
    <mergeCell ref="A5:C5"/>
    <mergeCell ref="A6:C6"/>
    <mergeCell ref="A7:C7"/>
    <mergeCell ref="H2:I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Lanzetti</dc:creator>
  <cp:lastModifiedBy>Andrea Lanzetti</cp:lastModifiedBy>
  <dcterms:created xsi:type="dcterms:W3CDTF">2025-11-13T10:57:57Z</dcterms:created>
  <dcterms:modified xsi:type="dcterms:W3CDTF">2025-11-13T12:58:21Z</dcterms:modified>
</cp:coreProperties>
</file>